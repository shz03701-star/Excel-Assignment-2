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entri excel workbook\"/>
    </mc:Choice>
  </mc:AlternateContent>
  <xr:revisionPtr revIDLastSave="0" documentId="13_ncr:1_{94AD7333-9D91-49C6-A7ED-C315B6343E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X5" i="2" l="1"/>
  <c r="X7" i="2"/>
  <c r="X8" i="2"/>
  <c r="X17" i="2"/>
  <c r="X20" i="2"/>
  <c r="X29" i="2"/>
  <c r="X31" i="2"/>
  <c r="X32" i="2"/>
  <c r="O26" i="2"/>
  <c r="X26" i="2" s="1"/>
  <c r="O25" i="2"/>
  <c r="X25" i="2" s="1"/>
  <c r="O24" i="2"/>
  <c r="X24" i="2" s="1"/>
  <c r="O23" i="2"/>
  <c r="X23" i="2" s="1"/>
  <c r="O22" i="2"/>
  <c r="X22" i="2" s="1"/>
  <c r="O14" i="2"/>
  <c r="X14" i="2" s="1"/>
  <c r="O13" i="2"/>
  <c r="X13" i="2" s="1"/>
  <c r="O12" i="2"/>
  <c r="X12" i="2" s="1"/>
  <c r="O11" i="2"/>
  <c r="X11" i="2" s="1"/>
  <c r="O10" i="2"/>
  <c r="X10" i="2" s="1"/>
  <c r="O3" i="2"/>
  <c r="X3" i="2" s="1"/>
  <c r="O4" i="2"/>
  <c r="X4" i="2" s="1"/>
  <c r="O5" i="2"/>
  <c r="O6" i="2"/>
  <c r="X6" i="2" s="1"/>
  <c r="O7" i="2"/>
  <c r="O8" i="2"/>
  <c r="O9" i="2"/>
  <c r="X9" i="2" s="1"/>
  <c r="O15" i="2"/>
  <c r="X15" i="2" s="1"/>
  <c r="O16" i="2"/>
  <c r="X16" i="2" s="1"/>
  <c r="O17" i="2"/>
  <c r="O18" i="2"/>
  <c r="X18" i="2" s="1"/>
  <c r="O19" i="2"/>
  <c r="X19" i="2" s="1"/>
  <c r="O20" i="2"/>
  <c r="O21" i="2"/>
  <c r="X21" i="2" s="1"/>
  <c r="O27" i="2"/>
  <c r="X27" i="2" s="1"/>
  <c r="O28" i="2"/>
  <c r="X28" i="2" s="1"/>
  <c r="O29" i="2"/>
  <c r="O30" i="2"/>
  <c r="X30" i="2" s="1"/>
  <c r="O31" i="2"/>
  <c r="O32" i="2"/>
  <c r="O33" i="2"/>
  <c r="X33" i="2" s="1"/>
  <c r="K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" i="2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H3" i="2"/>
</calcChain>
</file>

<file path=xl/sharedStrings.xml><?xml version="1.0" encoding="utf-8"?>
<sst xmlns="http://schemas.openxmlformats.org/spreadsheetml/2006/main" count="370" uniqueCount="126">
  <si>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</si>
  <si>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</si>
  <si>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</si>
  <si>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</si>
  <si>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</si>
  <si>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</si>
  <si>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</si>
  <si>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</si>
  <si>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</si>
  <si>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</si>
  <si>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</si>
  <si>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</si>
  <si>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</si>
  <si>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</si>
  <si>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</si>
  <si>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</si>
  <si>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</si>
  <si>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</si>
  <si>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</si>
  <si>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</si>
  <si>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</si>
  <si>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</si>
  <si>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</si>
  <si>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</si>
  <si>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</si>
  <si>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</si>
  <si>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</si>
  <si>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</si>
  <si>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</si>
  <si>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</si>
  <si>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</si>
  <si>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</si>
  <si>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</si>
  <si>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</si>
  <si>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</si>
  <si>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</si>
  <si>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</si>
  <si>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</si>
  <si>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</si>
  <si>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</si>
  <si>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</si>
  <si>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</si>
  <si>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</si>
  <si>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</si>
  <si>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</si>
  <si>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</si>
  <si>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</si>
  <si>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</si>
  <si>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</si>
  <si>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</si>
  <si>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</si>
  <si>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</si>
  <si>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</si>
  <si>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</si>
  <si>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</si>
  <si>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</si>
  <si>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</si>
  <si>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</si>
  <si>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</si>
  <si>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</si>
  <si>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</si>
  <si>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</si>
  <si>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</si>
  <si>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</si>
  <si>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</si>
  <si>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</si>
  <si>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</si>
  <si>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</si>
  <si>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</si>
  <si>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</si>
  <si>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</si>
  <si>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</si>
  <si>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</si>
  <si>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</si>
  <si>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</si>
  <si>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</si>
  <si>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</si>
  <si>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</si>
  <si>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</si>
  <si>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</si>
  <si>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</si>
  <si>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</si>
  <si>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</si>
  <si>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</si>
  <si>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</si>
  <si>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</si>
  <si>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</si>
  <si>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</si>
  <si>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</si>
  <si>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</si>
  <si>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</si>
  <si>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</si>
  <si>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</si>
  <si>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</si>
  <si>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</si>
  <si>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</si>
  <si>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</si>
  <si>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</si>
  <si>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</si>
  <si>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</si>
  <si>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</si>
  <si>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</si>
  <si>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</si>
  <si>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</si>
  <si>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</si>
  <si>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</si>
  <si>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</si>
  <si>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</si>
  <si>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</si>
  <si>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</si>
  <si>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</si>
  <si>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</si>
  <si>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</si>
  <si>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</si>
  <si>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</si>
  <si>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No values</t>
  </si>
  <si>
    <t>Missing Prices</t>
  </si>
  <si>
    <t>3. Duplicates removed</t>
  </si>
  <si>
    <t>1. Missing values</t>
  </si>
  <si>
    <t>2. Correcting data</t>
  </si>
  <si>
    <t>Manufacturing date</t>
  </si>
  <si>
    <t>Country code</t>
  </si>
  <si>
    <t>4. Splitting and merge data</t>
  </si>
  <si>
    <t>Product brand</t>
  </si>
  <si>
    <t>5. Number formatting</t>
  </si>
  <si>
    <t>6.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</si>
</sst>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9" formatCode="dd/mm/yy;@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3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/>
    <xf numFmtId="0" fontId="10" fillId="2" borderId="0" xfId="0" applyFont="1" applyFill="1" applyAlignment="1">
      <alignment horizontal="center"/>
    </xf>
    <xf numFmtId="1" fontId="5" fillId="0" borderId="0" xfId="0" applyNumberFormat="1" applyFont="1"/>
    <xf numFmtId="1" fontId="5" fillId="3" borderId="0" xfId="0" applyNumberFormat="1" applyFont="1" applyFill="1"/>
    <xf numFmtId="1" fontId="8" fillId="3" borderId="0" xfId="0" applyNumberFormat="1" applyFont="1" applyFill="1"/>
    <xf numFmtId="164" fontId="0" fillId="0" borderId="0" xfId="0" applyNumberFormat="1"/>
    <xf numFmtId="164" fontId="10" fillId="2" borderId="0" xfId="0" applyNumberFormat="1" applyFont="1" applyFill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1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12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18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1"/>
  <sheetViews>
    <sheetView tabSelected="1" topLeftCell="Z1" workbookViewId="0">
      <selection activeCell="AF2" sqref="AF2"/>
    </sheetView>
  </sheetViews>
  <sheetFormatPr defaultColWidth="12.6640625" defaultRowHeight="15" customHeight="1" x14ac:dyDescent="0.25"/>
  <cols>
    <col min="1" max="7" width="12.6640625" customWidth="1"/>
    <col min="11" max="11" width="15.6640625" customWidth="1"/>
    <col min="16" max="16" width="14.77734375" hidden="1" customWidth="1"/>
    <col min="22" max="22" width="18.5546875" customWidth="1"/>
    <col min="24" max="24" width="25.21875" customWidth="1"/>
    <col min="27" max="27" width="18.44140625" style="16" customWidth="1"/>
    <col min="28" max="28" width="17" bestFit="1" customWidth="1"/>
    <col min="29" max="29" width="15.33203125" customWidth="1"/>
    <col min="30" max="30" width="16.88671875" customWidth="1"/>
  </cols>
  <sheetData>
    <row r="1" spans="1:30" ht="15" customHeight="1" x14ac:dyDescent="0.3">
      <c r="H1" s="19" t="s">
        <v>118</v>
      </c>
      <c r="I1" s="19"/>
      <c r="K1" s="19" t="s">
        <v>119</v>
      </c>
      <c r="L1" s="19"/>
      <c r="N1" s="19" t="s">
        <v>117</v>
      </c>
      <c r="O1" s="19"/>
      <c r="P1" s="19"/>
      <c r="Q1" s="19"/>
      <c r="R1" s="19"/>
      <c r="S1" s="19"/>
      <c r="T1" s="19"/>
      <c r="V1" s="19" t="s">
        <v>122</v>
      </c>
      <c r="W1" s="19"/>
      <c r="X1" s="19"/>
      <c r="Z1" s="19" t="s">
        <v>124</v>
      </c>
      <c r="AA1" s="19"/>
      <c r="AC1" s="19" t="s">
        <v>125</v>
      </c>
      <c r="AD1" s="19"/>
    </row>
    <row r="2" spans="1:30" ht="15.75" customHeight="1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10"/>
      <c r="H2" s="7" t="s">
        <v>116</v>
      </c>
      <c r="I2" s="7" t="s">
        <v>22</v>
      </c>
      <c r="J2" s="10"/>
      <c r="K2" s="7" t="s">
        <v>20</v>
      </c>
      <c r="L2" s="7" t="s">
        <v>24</v>
      </c>
      <c r="N2" s="7" t="s">
        <v>19</v>
      </c>
      <c r="O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V2" s="12" t="s">
        <v>120</v>
      </c>
      <c r="W2" s="12" t="s">
        <v>121</v>
      </c>
      <c r="X2" s="12" t="s">
        <v>123</v>
      </c>
      <c r="Z2" s="7" t="s">
        <v>22</v>
      </c>
      <c r="AA2" s="17" t="s">
        <v>120</v>
      </c>
      <c r="AC2" s="7" t="s">
        <v>22</v>
      </c>
      <c r="AD2" s="7" t="s">
        <v>24</v>
      </c>
    </row>
    <row r="3" spans="1:30" ht="15.75" customHeight="1" x14ac:dyDescent="0.25">
      <c r="A3" s="5" t="s">
        <v>25</v>
      </c>
      <c r="B3" s="5" t="s">
        <v>26</v>
      </c>
      <c r="C3" s="5" t="s">
        <v>27</v>
      </c>
      <c r="D3" s="5">
        <v>1000</v>
      </c>
      <c r="E3" s="5">
        <v>30</v>
      </c>
      <c r="F3" s="5" t="s">
        <v>28</v>
      </c>
      <c r="G3" s="5"/>
      <c r="H3">
        <f>COUNTBLANK(D3:D36)</f>
        <v>3</v>
      </c>
      <c r="I3" s="5">
        <v>1000</v>
      </c>
      <c r="J3" s="5"/>
      <c r="K3" s="5" t="str">
        <f>PROPER(B3:B36)</f>
        <v>Laptop</v>
      </c>
      <c r="L3" s="5" t="s">
        <v>28</v>
      </c>
      <c r="N3" s="5" t="s">
        <v>25</v>
      </c>
      <c r="O3" s="5" t="str">
        <f t="shared" ref="O3:O33" si="0">PROPER(P3)</f>
        <v>Laptop</v>
      </c>
      <c r="P3" s="5" t="s">
        <v>26</v>
      </c>
      <c r="Q3" s="5" t="s">
        <v>27</v>
      </c>
      <c r="R3" s="5">
        <v>1000</v>
      </c>
      <c r="S3" s="5">
        <v>30</v>
      </c>
      <c r="T3" s="5" t="s">
        <v>28</v>
      </c>
      <c r="V3" t="str">
        <f t="shared" ref="V3:V33" si="1">LEFT(N3,6)</f>
        <v>28-JAN</v>
      </c>
      <c r="W3" t="str">
        <f t="shared" ref="W3:W33" si="2">RIGHT(N3,2)</f>
        <v>US</v>
      </c>
      <c r="X3" t="str">
        <f>CONCATENATE(Q3," ",O3)</f>
        <v>Dell Laptop</v>
      </c>
      <c r="Z3" s="13">
        <v>1000</v>
      </c>
      <c r="AA3" s="21" t="str">
        <f>LEFT(N3,6)</f>
        <v>28-JAN</v>
      </c>
      <c r="AB3" s="20"/>
      <c r="AC3" s="13">
        <v>1000</v>
      </c>
      <c r="AD3" s="5" t="s">
        <v>28</v>
      </c>
    </row>
    <row r="4" spans="1:30" ht="15.75" customHeight="1" x14ac:dyDescent="0.25">
      <c r="A4" s="8" t="s">
        <v>29</v>
      </c>
      <c r="B4" s="8" t="s">
        <v>30</v>
      </c>
      <c r="C4" s="8" t="s">
        <v>31</v>
      </c>
      <c r="D4" s="8">
        <v>80</v>
      </c>
      <c r="E4" s="8">
        <v>15</v>
      </c>
      <c r="F4" s="8" t="s">
        <v>32</v>
      </c>
      <c r="G4" s="5"/>
      <c r="I4" s="8">
        <v>80</v>
      </c>
      <c r="J4" s="5"/>
      <c r="K4" s="5" t="str">
        <f t="shared" ref="K4:K36" si="3">PROPER(B4:B37)</f>
        <v>Sneakers</v>
      </c>
      <c r="L4" s="8" t="s">
        <v>32</v>
      </c>
      <c r="N4" s="8" t="s">
        <v>29</v>
      </c>
      <c r="O4" s="5" t="str">
        <f t="shared" si="0"/>
        <v>Sneakers</v>
      </c>
      <c r="P4" s="8" t="s">
        <v>30</v>
      </c>
      <c r="Q4" s="8" t="s">
        <v>31</v>
      </c>
      <c r="R4" s="8">
        <v>80</v>
      </c>
      <c r="S4" s="8">
        <v>15</v>
      </c>
      <c r="T4" s="8" t="s">
        <v>32</v>
      </c>
      <c r="V4" t="str">
        <f t="shared" si="1"/>
        <v>15-FEB</v>
      </c>
      <c r="W4" t="str">
        <f t="shared" si="2"/>
        <v>US</v>
      </c>
      <c r="X4" t="str">
        <f t="shared" ref="X4:X33" si="4">CONCATENATE(Q4," ",O4)</f>
        <v>Nike Sneakers</v>
      </c>
      <c r="Z4" s="14">
        <v>80</v>
      </c>
      <c r="AA4" s="21" t="str">
        <f t="shared" ref="AA4:AA33" si="5">LEFT(N4,6)</f>
        <v>15-FEB</v>
      </c>
      <c r="AB4" s="20"/>
      <c r="AC4" s="14">
        <v>80</v>
      </c>
      <c r="AD4" s="8" t="s">
        <v>32</v>
      </c>
    </row>
    <row r="5" spans="1:30" ht="15.75" customHeight="1" x14ac:dyDescent="0.25">
      <c r="A5" s="5" t="s">
        <v>33</v>
      </c>
      <c r="B5" s="5" t="s">
        <v>34</v>
      </c>
      <c r="C5" s="5" t="s">
        <v>35</v>
      </c>
      <c r="D5" s="5">
        <v>130</v>
      </c>
      <c r="E5" s="5">
        <v>40</v>
      </c>
      <c r="F5" s="5" t="s">
        <v>36</v>
      </c>
      <c r="G5" s="5"/>
      <c r="I5" s="5">
        <v>130</v>
      </c>
      <c r="J5" s="5"/>
      <c r="K5" s="5" t="str">
        <f t="shared" si="3"/>
        <v>Coffee Maker</v>
      </c>
      <c r="L5" s="5" t="s">
        <v>36</v>
      </c>
      <c r="N5" s="5" t="s">
        <v>33</v>
      </c>
      <c r="O5" s="5" t="str">
        <f t="shared" si="0"/>
        <v>Coffee Maker</v>
      </c>
      <c r="P5" s="5" t="s">
        <v>34</v>
      </c>
      <c r="Q5" s="5" t="s">
        <v>35</v>
      </c>
      <c r="R5" s="5">
        <v>130</v>
      </c>
      <c r="S5" s="5">
        <v>40</v>
      </c>
      <c r="T5" s="5" t="s">
        <v>36</v>
      </c>
      <c r="V5" t="str">
        <f t="shared" si="1"/>
        <v>03-MAR</v>
      </c>
      <c r="W5" t="str">
        <f t="shared" si="2"/>
        <v>US</v>
      </c>
      <c r="X5" t="str">
        <f t="shared" si="4"/>
        <v>Keurig Coffee Maker</v>
      </c>
      <c r="Z5" s="13">
        <v>130</v>
      </c>
      <c r="AA5" s="21" t="str">
        <f t="shared" si="5"/>
        <v>03-MAR</v>
      </c>
      <c r="AB5" s="20"/>
      <c r="AC5" s="13">
        <v>130</v>
      </c>
      <c r="AD5" s="5" t="s">
        <v>36</v>
      </c>
    </row>
    <row r="6" spans="1:30" ht="15.75" customHeight="1" x14ac:dyDescent="0.25">
      <c r="A6" s="8" t="s">
        <v>37</v>
      </c>
      <c r="B6" s="8" t="s">
        <v>38</v>
      </c>
      <c r="C6" s="8" t="s">
        <v>39</v>
      </c>
      <c r="D6" s="8">
        <v>900</v>
      </c>
      <c r="E6" s="8">
        <v>25</v>
      </c>
      <c r="F6" s="8" t="s">
        <v>28</v>
      </c>
      <c r="G6" s="5"/>
      <c r="I6" s="8">
        <v>900</v>
      </c>
      <c r="J6" s="5"/>
      <c r="K6" s="5" t="str">
        <f t="shared" si="3"/>
        <v>Smartphone</v>
      </c>
      <c r="L6" s="8" t="s">
        <v>28</v>
      </c>
      <c r="N6" s="8" t="s">
        <v>37</v>
      </c>
      <c r="O6" s="5" t="str">
        <f t="shared" si="0"/>
        <v>Smartphone</v>
      </c>
      <c r="P6" s="8" t="s">
        <v>38</v>
      </c>
      <c r="Q6" s="8" t="s">
        <v>39</v>
      </c>
      <c r="R6" s="8">
        <v>900</v>
      </c>
      <c r="S6" s="8">
        <v>25</v>
      </c>
      <c r="T6" s="8" t="s">
        <v>28</v>
      </c>
      <c r="V6" t="str">
        <f t="shared" si="1"/>
        <v>11-APR</v>
      </c>
      <c r="W6" t="str">
        <f t="shared" si="2"/>
        <v>US</v>
      </c>
      <c r="X6" t="str">
        <f t="shared" si="4"/>
        <v>Samsung Smartphone</v>
      </c>
      <c r="Z6" s="14">
        <v>900</v>
      </c>
      <c r="AA6" s="21" t="str">
        <f t="shared" si="5"/>
        <v>11-APR</v>
      </c>
      <c r="AB6" s="20"/>
      <c r="AC6" s="14">
        <v>900</v>
      </c>
      <c r="AD6" s="8" t="s">
        <v>28</v>
      </c>
    </row>
    <row r="7" spans="1:30" ht="15.75" customHeight="1" x14ac:dyDescent="0.25">
      <c r="A7" s="5" t="s">
        <v>40</v>
      </c>
      <c r="B7" s="5" t="s">
        <v>41</v>
      </c>
      <c r="C7" s="5" t="s">
        <v>42</v>
      </c>
      <c r="D7" s="5">
        <v>70</v>
      </c>
      <c r="E7" s="5">
        <v>20</v>
      </c>
      <c r="F7" s="5"/>
      <c r="G7" s="5"/>
      <c r="I7" s="5">
        <v>70</v>
      </c>
      <c r="J7" s="5"/>
      <c r="K7" s="5" t="str">
        <f t="shared" si="3"/>
        <v>Backpack</v>
      </c>
      <c r="L7" s="11" t="s">
        <v>32</v>
      </c>
      <c r="N7" s="5" t="s">
        <v>40</v>
      </c>
      <c r="O7" s="5" t="str">
        <f t="shared" si="0"/>
        <v>Backpack</v>
      </c>
      <c r="P7" s="5" t="s">
        <v>41</v>
      </c>
      <c r="Q7" s="5" t="s">
        <v>42</v>
      </c>
      <c r="R7" s="5">
        <v>70</v>
      </c>
      <c r="S7" s="5">
        <v>20</v>
      </c>
      <c r="T7" s="5"/>
      <c r="V7" t="str">
        <f t="shared" si="1"/>
        <v>22-MAY</v>
      </c>
      <c r="W7" t="str">
        <f t="shared" si="2"/>
        <v>US</v>
      </c>
      <c r="X7" t="str">
        <f t="shared" si="4"/>
        <v>North Face Backpack</v>
      </c>
      <c r="Z7" s="13">
        <v>70</v>
      </c>
      <c r="AA7" s="21" t="str">
        <f t="shared" si="5"/>
        <v>22-MAY</v>
      </c>
      <c r="AB7" s="20"/>
      <c r="AC7" s="13">
        <v>70</v>
      </c>
      <c r="AD7" s="5"/>
    </row>
    <row r="8" spans="1:30" ht="15.75" customHeight="1" x14ac:dyDescent="0.25">
      <c r="A8" s="8" t="s">
        <v>43</v>
      </c>
      <c r="B8" s="8" t="s">
        <v>44</v>
      </c>
      <c r="C8" s="8" t="s">
        <v>45</v>
      </c>
      <c r="D8" s="8"/>
      <c r="E8" s="8">
        <v>45</v>
      </c>
      <c r="F8" s="8" t="s">
        <v>28</v>
      </c>
      <c r="G8" s="5"/>
      <c r="I8" s="9" t="s">
        <v>115</v>
      </c>
      <c r="J8" s="11"/>
      <c r="K8" s="5" t="str">
        <f t="shared" si="3"/>
        <v>Headphones</v>
      </c>
      <c r="L8" s="8" t="s">
        <v>28</v>
      </c>
      <c r="N8" s="8" t="s">
        <v>43</v>
      </c>
      <c r="O8" s="5" t="str">
        <f t="shared" si="0"/>
        <v>Headphones</v>
      </c>
      <c r="P8" s="8" t="s">
        <v>44</v>
      </c>
      <c r="Q8" s="8" t="s">
        <v>45</v>
      </c>
      <c r="R8" s="8"/>
      <c r="S8" s="8">
        <v>45</v>
      </c>
      <c r="T8" s="8" t="s">
        <v>28</v>
      </c>
      <c r="V8" t="str">
        <f t="shared" si="1"/>
        <v>07-JUN</v>
      </c>
      <c r="W8" t="str">
        <f t="shared" si="2"/>
        <v>UK</v>
      </c>
      <c r="X8" t="str">
        <f t="shared" si="4"/>
        <v>Sony Headphones</v>
      </c>
      <c r="Z8" s="15" t="s">
        <v>115</v>
      </c>
      <c r="AA8" s="21" t="str">
        <f t="shared" si="5"/>
        <v>07-JUN</v>
      </c>
      <c r="AB8" s="20"/>
      <c r="AC8" s="15" t="s">
        <v>115</v>
      </c>
      <c r="AD8" s="8" t="s">
        <v>28</v>
      </c>
    </row>
    <row r="9" spans="1:30" ht="15.75" customHeight="1" x14ac:dyDescent="0.25">
      <c r="A9" s="5" t="s">
        <v>46</v>
      </c>
      <c r="B9" s="5" t="s">
        <v>47</v>
      </c>
      <c r="C9" s="5" t="s">
        <v>48</v>
      </c>
      <c r="D9" s="5">
        <v>30</v>
      </c>
      <c r="E9" s="5">
        <v>5</v>
      </c>
      <c r="F9" s="5" t="s">
        <v>32</v>
      </c>
      <c r="G9" s="5"/>
      <c r="I9" s="5">
        <v>30</v>
      </c>
      <c r="J9" s="5"/>
      <c r="K9" s="5" t="str">
        <f t="shared" si="3"/>
        <v>T-Shirt</v>
      </c>
      <c r="L9" s="5" t="s">
        <v>32</v>
      </c>
      <c r="N9" s="5" t="s">
        <v>46</v>
      </c>
      <c r="O9" s="5" t="str">
        <f t="shared" si="0"/>
        <v>T-Shirt</v>
      </c>
      <c r="P9" s="5" t="s">
        <v>47</v>
      </c>
      <c r="Q9" s="5" t="s">
        <v>48</v>
      </c>
      <c r="R9" s="5">
        <v>30</v>
      </c>
      <c r="S9" s="5">
        <v>5</v>
      </c>
      <c r="T9" s="5" t="s">
        <v>32</v>
      </c>
      <c r="V9" t="str">
        <f t="shared" si="1"/>
        <v>19-JUL</v>
      </c>
      <c r="W9" t="str">
        <f t="shared" si="2"/>
        <v>UK</v>
      </c>
      <c r="X9" t="str">
        <f t="shared" si="4"/>
        <v>Adidas T-Shirt</v>
      </c>
      <c r="Z9" s="13">
        <v>30</v>
      </c>
      <c r="AA9" s="21" t="str">
        <f t="shared" si="5"/>
        <v>19-JUL</v>
      </c>
      <c r="AB9" s="20"/>
      <c r="AC9" s="13">
        <v>30</v>
      </c>
      <c r="AD9" s="5" t="s">
        <v>32</v>
      </c>
    </row>
    <row r="10" spans="1:30" ht="15.75" customHeight="1" x14ac:dyDescent="0.25">
      <c r="A10" s="8" t="s">
        <v>49</v>
      </c>
      <c r="B10" s="8" t="s">
        <v>50</v>
      </c>
      <c r="C10" s="8" t="s">
        <v>51</v>
      </c>
      <c r="D10" s="8">
        <v>90</v>
      </c>
      <c r="E10" s="8">
        <v>35</v>
      </c>
      <c r="F10" s="8" t="s">
        <v>36</v>
      </c>
      <c r="G10" s="5"/>
      <c r="I10" s="8">
        <v>90</v>
      </c>
      <c r="J10" s="5"/>
      <c r="K10" s="5" t="str">
        <f t="shared" si="3"/>
        <v>Blender</v>
      </c>
      <c r="L10" s="8" t="s">
        <v>36</v>
      </c>
      <c r="N10" s="8" t="s">
        <v>49</v>
      </c>
      <c r="O10" s="5" t="str">
        <f t="shared" si="0"/>
        <v>Blender</v>
      </c>
      <c r="P10" s="8" t="s">
        <v>50</v>
      </c>
      <c r="Q10" s="8" t="s">
        <v>51</v>
      </c>
      <c r="R10" s="8">
        <v>90</v>
      </c>
      <c r="S10" s="8">
        <v>35</v>
      </c>
      <c r="T10" s="8" t="s">
        <v>36</v>
      </c>
      <c r="V10" t="str">
        <f t="shared" si="1"/>
        <v>23-AUG</v>
      </c>
      <c r="W10" t="str">
        <f t="shared" si="2"/>
        <v>UK</v>
      </c>
      <c r="X10" t="str">
        <f t="shared" si="4"/>
        <v>Ninja Blender</v>
      </c>
      <c r="Z10" s="14">
        <v>90</v>
      </c>
      <c r="AA10" s="21" t="str">
        <f t="shared" si="5"/>
        <v>23-AUG</v>
      </c>
      <c r="AB10" s="20"/>
      <c r="AC10" s="14">
        <v>90</v>
      </c>
      <c r="AD10" s="8" t="s">
        <v>36</v>
      </c>
    </row>
    <row r="11" spans="1:30" ht="15.75" customHeight="1" x14ac:dyDescent="0.25">
      <c r="A11" s="5" t="s">
        <v>52</v>
      </c>
      <c r="B11" s="5" t="s">
        <v>53</v>
      </c>
      <c r="C11" s="5" t="s">
        <v>54</v>
      </c>
      <c r="D11" s="5">
        <v>500</v>
      </c>
      <c r="E11" s="5">
        <v>50</v>
      </c>
      <c r="F11" s="5" t="s">
        <v>28</v>
      </c>
      <c r="G11" s="5"/>
      <c r="I11" s="5">
        <v>500</v>
      </c>
      <c r="J11" s="5"/>
      <c r="K11" s="5" t="str">
        <f t="shared" si="3"/>
        <v>Tablet</v>
      </c>
      <c r="L11" s="5" t="s">
        <v>28</v>
      </c>
      <c r="N11" s="5" t="s">
        <v>52</v>
      </c>
      <c r="O11" s="5" t="str">
        <f t="shared" si="0"/>
        <v>Tablet</v>
      </c>
      <c r="P11" s="5" t="s">
        <v>53</v>
      </c>
      <c r="Q11" s="5" t="s">
        <v>54</v>
      </c>
      <c r="R11" s="5">
        <v>500</v>
      </c>
      <c r="S11" s="5">
        <v>50</v>
      </c>
      <c r="T11" s="5" t="s">
        <v>28</v>
      </c>
      <c r="V11" t="str">
        <f t="shared" si="1"/>
        <v>05-SEP</v>
      </c>
      <c r="W11" t="str">
        <f t="shared" si="2"/>
        <v>UK</v>
      </c>
      <c r="X11" t="str">
        <f t="shared" si="4"/>
        <v>Apple Tablet</v>
      </c>
      <c r="Z11" s="13">
        <v>500</v>
      </c>
      <c r="AA11" s="21" t="str">
        <f t="shared" si="5"/>
        <v>05-SEP</v>
      </c>
      <c r="AB11" s="20"/>
      <c r="AC11" s="13">
        <v>500</v>
      </c>
      <c r="AD11" s="5" t="s">
        <v>28</v>
      </c>
    </row>
    <row r="12" spans="1:30" ht="15.75" customHeight="1" x14ac:dyDescent="0.25">
      <c r="A12" s="8" t="s">
        <v>55</v>
      </c>
      <c r="B12" s="8" t="s">
        <v>56</v>
      </c>
      <c r="C12" s="8" t="s">
        <v>57</v>
      </c>
      <c r="D12" s="8">
        <v>130</v>
      </c>
      <c r="E12" s="8">
        <v>10</v>
      </c>
      <c r="F12" s="8" t="s">
        <v>58</v>
      </c>
      <c r="G12" s="5"/>
      <c r="I12" s="8">
        <v>130</v>
      </c>
      <c r="J12" s="5"/>
      <c r="K12" s="5" t="str">
        <f t="shared" si="3"/>
        <v>Hiking Boots</v>
      </c>
      <c r="L12" s="8" t="s">
        <v>58</v>
      </c>
      <c r="N12" s="8" t="s">
        <v>55</v>
      </c>
      <c r="O12" s="5" t="str">
        <f t="shared" si="0"/>
        <v>Hiking Boots</v>
      </c>
      <c r="P12" s="8" t="s">
        <v>56</v>
      </c>
      <c r="Q12" s="8" t="s">
        <v>57</v>
      </c>
      <c r="R12" s="8">
        <v>130</v>
      </c>
      <c r="S12" s="8">
        <v>10</v>
      </c>
      <c r="T12" s="8" t="s">
        <v>58</v>
      </c>
      <c r="V12" t="str">
        <f t="shared" si="1"/>
        <v>14-OCT</v>
      </c>
      <c r="W12" t="str">
        <f t="shared" si="2"/>
        <v>UK</v>
      </c>
      <c r="X12" t="str">
        <f t="shared" si="4"/>
        <v>Timberland Hiking Boots</v>
      </c>
      <c r="Z12" s="14">
        <v>130</v>
      </c>
      <c r="AA12" s="21" t="str">
        <f t="shared" si="5"/>
        <v>14-OCT</v>
      </c>
      <c r="AB12" s="20"/>
      <c r="AC12" s="14">
        <v>130</v>
      </c>
      <c r="AD12" s="8" t="s">
        <v>58</v>
      </c>
    </row>
    <row r="13" spans="1:30" ht="15.75" customHeight="1" x14ac:dyDescent="0.25">
      <c r="A13" s="5" t="s">
        <v>59</v>
      </c>
      <c r="B13" s="5" t="s">
        <v>60</v>
      </c>
      <c r="C13" s="5" t="s">
        <v>61</v>
      </c>
      <c r="D13" s="5">
        <v>950</v>
      </c>
      <c r="E13" s="5">
        <v>25</v>
      </c>
      <c r="F13" s="5" t="s">
        <v>28</v>
      </c>
      <c r="G13" s="5"/>
      <c r="I13" s="5">
        <v>950</v>
      </c>
      <c r="J13" s="5"/>
      <c r="K13" s="5" t="str">
        <f t="shared" si="3"/>
        <v>Laptop</v>
      </c>
      <c r="L13" s="5" t="s">
        <v>28</v>
      </c>
      <c r="N13" s="5" t="s">
        <v>59</v>
      </c>
      <c r="O13" s="5" t="str">
        <f t="shared" si="0"/>
        <v>Laptop</v>
      </c>
      <c r="P13" s="5" t="s">
        <v>60</v>
      </c>
      <c r="Q13" s="5" t="s">
        <v>61</v>
      </c>
      <c r="R13" s="5">
        <v>950</v>
      </c>
      <c r="S13" s="5">
        <v>25</v>
      </c>
      <c r="T13" s="5" t="s">
        <v>28</v>
      </c>
      <c r="V13" t="str">
        <f t="shared" si="1"/>
        <v>17-JUN</v>
      </c>
      <c r="W13" t="str">
        <f t="shared" si="2"/>
        <v>IN</v>
      </c>
      <c r="X13" t="str">
        <f t="shared" si="4"/>
        <v>HP Laptop</v>
      </c>
      <c r="Z13" s="13">
        <v>950</v>
      </c>
      <c r="AA13" s="21" t="str">
        <f t="shared" si="5"/>
        <v>17-JUN</v>
      </c>
      <c r="AB13" s="20"/>
      <c r="AC13" s="13">
        <v>950</v>
      </c>
      <c r="AD13" s="5" t="s">
        <v>28</v>
      </c>
    </row>
    <row r="14" spans="1:30" ht="15.75" customHeight="1" x14ac:dyDescent="0.25">
      <c r="A14" s="8" t="s">
        <v>62</v>
      </c>
      <c r="B14" s="8" t="s">
        <v>30</v>
      </c>
      <c r="C14" s="8" t="s">
        <v>48</v>
      </c>
      <c r="D14" s="8">
        <v>90</v>
      </c>
      <c r="E14" s="8">
        <v>40</v>
      </c>
      <c r="F14" s="8"/>
      <c r="G14" s="5"/>
      <c r="I14" s="8">
        <v>90</v>
      </c>
      <c r="J14" s="5"/>
      <c r="K14" s="5" t="str">
        <f t="shared" si="3"/>
        <v>Sneakers</v>
      </c>
      <c r="L14" s="9" t="s">
        <v>32</v>
      </c>
      <c r="N14" s="8" t="s">
        <v>62</v>
      </c>
      <c r="O14" s="5" t="str">
        <f t="shared" si="0"/>
        <v>Sneakers</v>
      </c>
      <c r="P14" s="8" t="s">
        <v>30</v>
      </c>
      <c r="Q14" s="8" t="s">
        <v>48</v>
      </c>
      <c r="R14" s="8">
        <v>90</v>
      </c>
      <c r="S14" s="8">
        <v>40</v>
      </c>
      <c r="T14" s="8"/>
      <c r="V14" t="str">
        <f t="shared" si="1"/>
        <v>25-NOV</v>
      </c>
      <c r="W14" t="str">
        <f t="shared" si="2"/>
        <v>AU</v>
      </c>
      <c r="X14" t="str">
        <f t="shared" si="4"/>
        <v>Adidas Sneakers</v>
      </c>
      <c r="Z14" s="14">
        <v>90</v>
      </c>
      <c r="AA14" s="21" t="str">
        <f t="shared" si="5"/>
        <v>25-NOV</v>
      </c>
      <c r="AB14" s="20"/>
      <c r="AC14" s="14">
        <v>90</v>
      </c>
      <c r="AD14" s="8"/>
    </row>
    <row r="15" spans="1:30" ht="15.75" customHeight="1" x14ac:dyDescent="0.25">
      <c r="A15" s="5" t="s">
        <v>63</v>
      </c>
      <c r="B15" s="5" t="s">
        <v>34</v>
      </c>
      <c r="C15" s="5" t="s">
        <v>64</v>
      </c>
      <c r="D15" s="5">
        <v>120</v>
      </c>
      <c r="E15" s="5">
        <v>35</v>
      </c>
      <c r="F15" s="5"/>
      <c r="G15" s="5"/>
      <c r="I15" s="5">
        <v>120</v>
      </c>
      <c r="J15" s="5"/>
      <c r="K15" s="5" t="str">
        <f t="shared" si="3"/>
        <v>Coffee Maker</v>
      </c>
      <c r="L15" s="11" t="s">
        <v>36</v>
      </c>
      <c r="N15" s="5" t="s">
        <v>63</v>
      </c>
      <c r="O15" s="5" t="str">
        <f t="shared" si="0"/>
        <v>Coffee Maker</v>
      </c>
      <c r="P15" s="5" t="s">
        <v>34</v>
      </c>
      <c r="Q15" s="5" t="s">
        <v>64</v>
      </c>
      <c r="R15" s="5">
        <v>120</v>
      </c>
      <c r="S15" s="5">
        <v>35</v>
      </c>
      <c r="T15" s="5"/>
      <c r="V15" t="str">
        <f t="shared" si="1"/>
        <v>08-DEC</v>
      </c>
      <c r="W15" t="str">
        <f t="shared" si="2"/>
        <v>DE</v>
      </c>
      <c r="X15" t="str">
        <f t="shared" si="4"/>
        <v>Nespresso Coffee Maker</v>
      </c>
      <c r="Z15" s="13">
        <v>120</v>
      </c>
      <c r="AA15" s="21" t="str">
        <f t="shared" si="5"/>
        <v>08-DEC</v>
      </c>
      <c r="AB15" s="20"/>
      <c r="AC15" s="13">
        <v>120</v>
      </c>
      <c r="AD15" s="5"/>
    </row>
    <row r="16" spans="1:30" ht="15.75" customHeight="1" x14ac:dyDescent="0.25">
      <c r="A16" s="8" t="s">
        <v>65</v>
      </c>
      <c r="B16" s="8" t="s">
        <v>66</v>
      </c>
      <c r="C16" s="8" t="s">
        <v>67</v>
      </c>
      <c r="D16" s="8">
        <v>150</v>
      </c>
      <c r="E16" s="8">
        <v>15</v>
      </c>
      <c r="F16" s="8" t="s">
        <v>28</v>
      </c>
      <c r="G16" s="5"/>
      <c r="I16" s="8">
        <v>150</v>
      </c>
      <c r="J16" s="5"/>
      <c r="K16" s="5" t="str">
        <f t="shared" si="3"/>
        <v>Smartwatch</v>
      </c>
      <c r="L16" s="8" t="s">
        <v>28</v>
      </c>
      <c r="N16" s="8" t="s">
        <v>65</v>
      </c>
      <c r="O16" s="5" t="str">
        <f t="shared" si="0"/>
        <v>Smartwatch</v>
      </c>
      <c r="P16" s="8" t="s">
        <v>66</v>
      </c>
      <c r="Q16" s="8" t="s">
        <v>67</v>
      </c>
      <c r="R16" s="8">
        <v>150</v>
      </c>
      <c r="S16" s="8">
        <v>15</v>
      </c>
      <c r="T16" s="8" t="s">
        <v>28</v>
      </c>
      <c r="V16" t="str">
        <f t="shared" si="1"/>
        <v>18-FEB</v>
      </c>
      <c r="W16" t="str">
        <f t="shared" si="2"/>
        <v>CA</v>
      </c>
      <c r="X16" t="str">
        <f t="shared" si="4"/>
        <v>Fitbit Smartwatch</v>
      </c>
      <c r="Z16" s="14">
        <v>150</v>
      </c>
      <c r="AA16" s="21" t="str">
        <f t="shared" si="5"/>
        <v>18-FEB</v>
      </c>
      <c r="AB16" s="20"/>
      <c r="AC16" s="14">
        <v>150</v>
      </c>
      <c r="AD16" s="8" t="s">
        <v>28</v>
      </c>
    </row>
    <row r="17" spans="1:30" ht="15.75" customHeight="1" x14ac:dyDescent="0.25">
      <c r="A17" s="5" t="s">
        <v>68</v>
      </c>
      <c r="B17" s="5" t="s">
        <v>69</v>
      </c>
      <c r="C17" s="5" t="s">
        <v>70</v>
      </c>
      <c r="D17" s="5">
        <v>250</v>
      </c>
      <c r="E17" s="5">
        <v>20</v>
      </c>
      <c r="F17" s="5" t="s">
        <v>28</v>
      </c>
      <c r="G17" s="5"/>
      <c r="I17" s="5">
        <v>250</v>
      </c>
      <c r="J17" s="5"/>
      <c r="K17" s="5" t="str">
        <f t="shared" si="3"/>
        <v>Headphones</v>
      </c>
      <c r="L17" s="5" t="s">
        <v>28</v>
      </c>
      <c r="N17" s="5" t="s">
        <v>68</v>
      </c>
      <c r="O17" s="5" t="str">
        <f t="shared" si="0"/>
        <v>Headphones</v>
      </c>
      <c r="P17" s="5" t="s">
        <v>69</v>
      </c>
      <c r="Q17" s="5" t="s">
        <v>70</v>
      </c>
      <c r="R17" s="5">
        <v>250</v>
      </c>
      <c r="S17" s="5">
        <v>20</v>
      </c>
      <c r="T17" s="5" t="s">
        <v>28</v>
      </c>
      <c r="V17" t="str">
        <f t="shared" si="1"/>
        <v>16-APR</v>
      </c>
      <c r="W17" t="str">
        <f t="shared" si="2"/>
        <v>ES</v>
      </c>
      <c r="X17" t="str">
        <f t="shared" si="4"/>
        <v>Bose Headphones</v>
      </c>
      <c r="Z17" s="13">
        <v>250</v>
      </c>
      <c r="AA17" s="21" t="str">
        <f t="shared" si="5"/>
        <v>16-APR</v>
      </c>
      <c r="AB17" s="20"/>
      <c r="AC17" s="13">
        <v>250</v>
      </c>
      <c r="AD17" s="5" t="s">
        <v>28</v>
      </c>
    </row>
    <row r="18" spans="1:30" ht="15.75" customHeight="1" x14ac:dyDescent="0.25">
      <c r="A18" s="8" t="s">
        <v>71</v>
      </c>
      <c r="B18" s="8" t="s">
        <v>72</v>
      </c>
      <c r="C18" s="8" t="s">
        <v>73</v>
      </c>
      <c r="D18" s="8">
        <v>50</v>
      </c>
      <c r="E18" s="8">
        <v>35</v>
      </c>
      <c r="F18" s="8" t="s">
        <v>74</v>
      </c>
      <c r="G18" s="5"/>
      <c r="I18" s="8">
        <v>50</v>
      </c>
      <c r="J18" s="5"/>
      <c r="K18" s="5" t="str">
        <f t="shared" si="3"/>
        <v>Laptop Bag</v>
      </c>
      <c r="L18" s="8" t="s">
        <v>74</v>
      </c>
      <c r="N18" s="8" t="s">
        <v>71</v>
      </c>
      <c r="O18" s="5" t="str">
        <f t="shared" si="0"/>
        <v>Laptop Bag</v>
      </c>
      <c r="P18" s="8" t="s">
        <v>72</v>
      </c>
      <c r="Q18" s="8" t="s">
        <v>73</v>
      </c>
      <c r="R18" s="8">
        <v>50</v>
      </c>
      <c r="S18" s="8">
        <v>35</v>
      </c>
      <c r="T18" s="8" t="s">
        <v>74</v>
      </c>
      <c r="V18" t="str">
        <f t="shared" si="1"/>
        <v>21-AUG</v>
      </c>
      <c r="W18" t="str">
        <f t="shared" si="2"/>
        <v>CA</v>
      </c>
      <c r="X18" t="str">
        <f t="shared" si="4"/>
        <v>Samsonite Laptop Bag</v>
      </c>
      <c r="Z18" s="14">
        <v>50</v>
      </c>
      <c r="AA18" s="21" t="str">
        <f t="shared" si="5"/>
        <v>21-AUG</v>
      </c>
      <c r="AB18" s="20"/>
      <c r="AC18" s="14">
        <v>50</v>
      </c>
      <c r="AD18" s="8" t="s">
        <v>74</v>
      </c>
    </row>
    <row r="19" spans="1:30" ht="15.75" customHeight="1" x14ac:dyDescent="0.25">
      <c r="A19" s="5" t="s">
        <v>75</v>
      </c>
      <c r="B19" s="5" t="s">
        <v>66</v>
      </c>
      <c r="C19" s="5" t="s">
        <v>76</v>
      </c>
      <c r="D19" s="5">
        <v>160</v>
      </c>
      <c r="E19" s="5">
        <v>15</v>
      </c>
      <c r="F19" s="5" t="s">
        <v>28</v>
      </c>
      <c r="G19" s="5"/>
      <c r="I19" s="5">
        <v>160</v>
      </c>
      <c r="J19" s="5"/>
      <c r="K19" s="5" t="str">
        <f t="shared" si="3"/>
        <v>Smartwatch</v>
      </c>
      <c r="L19" s="5" t="s">
        <v>28</v>
      </c>
      <c r="N19" s="5" t="s">
        <v>75</v>
      </c>
      <c r="O19" s="5" t="str">
        <f t="shared" si="0"/>
        <v>Smartwatch</v>
      </c>
      <c r="P19" s="5" t="s">
        <v>66</v>
      </c>
      <c r="Q19" s="5" t="s">
        <v>76</v>
      </c>
      <c r="R19" s="5">
        <v>160</v>
      </c>
      <c r="S19" s="5">
        <v>15</v>
      </c>
      <c r="T19" s="5" t="s">
        <v>28</v>
      </c>
      <c r="V19" t="str">
        <f t="shared" si="1"/>
        <v>20-AUG</v>
      </c>
      <c r="W19" t="str">
        <f t="shared" si="2"/>
        <v>CN</v>
      </c>
      <c r="X19" t="str">
        <f t="shared" si="4"/>
        <v>Huawei Smartwatch</v>
      </c>
      <c r="Z19" s="13">
        <v>160</v>
      </c>
      <c r="AA19" s="21" t="str">
        <f t="shared" si="5"/>
        <v>20-AUG</v>
      </c>
      <c r="AB19" s="20"/>
      <c r="AC19" s="13">
        <v>160</v>
      </c>
      <c r="AD19" s="5" t="s">
        <v>28</v>
      </c>
    </row>
    <row r="20" spans="1:30" ht="15.75" customHeight="1" x14ac:dyDescent="0.25">
      <c r="A20" s="8" t="s">
        <v>77</v>
      </c>
      <c r="B20" s="8" t="s">
        <v>26</v>
      </c>
      <c r="C20" s="8" t="s">
        <v>78</v>
      </c>
      <c r="D20" s="8">
        <v>980</v>
      </c>
      <c r="E20" s="8">
        <v>10</v>
      </c>
      <c r="F20" s="8" t="s">
        <v>28</v>
      </c>
      <c r="G20" s="5"/>
      <c r="I20" s="8">
        <v>980</v>
      </c>
      <c r="J20" s="5"/>
      <c r="K20" s="5" t="str">
        <f t="shared" si="3"/>
        <v>Laptop</v>
      </c>
      <c r="L20" s="8" t="s">
        <v>28</v>
      </c>
      <c r="N20" s="8" t="s">
        <v>77</v>
      </c>
      <c r="O20" s="5" t="str">
        <f t="shared" si="0"/>
        <v>Laptop</v>
      </c>
      <c r="P20" s="8" t="s">
        <v>26</v>
      </c>
      <c r="Q20" s="8" t="s">
        <v>78</v>
      </c>
      <c r="R20" s="8">
        <v>980</v>
      </c>
      <c r="S20" s="8">
        <v>10</v>
      </c>
      <c r="T20" s="8" t="s">
        <v>28</v>
      </c>
      <c r="V20" t="str">
        <f t="shared" si="1"/>
        <v>27-JAN</v>
      </c>
      <c r="W20" t="str">
        <f t="shared" si="2"/>
        <v>IT</v>
      </c>
      <c r="X20" t="str">
        <f t="shared" si="4"/>
        <v>Asus Laptop</v>
      </c>
      <c r="Z20" s="14">
        <v>980</v>
      </c>
      <c r="AA20" s="21" t="str">
        <f t="shared" si="5"/>
        <v>27-JAN</v>
      </c>
      <c r="AB20" s="20"/>
      <c r="AC20" s="14">
        <v>980</v>
      </c>
      <c r="AD20" s="8" t="s">
        <v>28</v>
      </c>
    </row>
    <row r="21" spans="1:30" ht="15.75" customHeight="1" x14ac:dyDescent="0.25">
      <c r="A21" s="5" t="s">
        <v>79</v>
      </c>
      <c r="B21" s="5" t="s">
        <v>80</v>
      </c>
      <c r="C21" s="5" t="s">
        <v>81</v>
      </c>
      <c r="D21" s="5">
        <v>150</v>
      </c>
      <c r="E21" s="5">
        <v>15</v>
      </c>
      <c r="F21" s="5" t="s">
        <v>32</v>
      </c>
      <c r="G21" s="5"/>
      <c r="I21" s="5">
        <v>150</v>
      </c>
      <c r="J21" s="5"/>
      <c r="K21" s="5" t="str">
        <f t="shared" si="3"/>
        <v>Sunglasses</v>
      </c>
      <c r="L21" s="5" t="s">
        <v>32</v>
      </c>
      <c r="N21" s="5" t="s">
        <v>79</v>
      </c>
      <c r="O21" s="5" t="str">
        <f t="shared" si="0"/>
        <v>Sunglasses</v>
      </c>
      <c r="P21" s="5" t="s">
        <v>80</v>
      </c>
      <c r="Q21" s="5" t="s">
        <v>81</v>
      </c>
      <c r="R21" s="5">
        <v>150</v>
      </c>
      <c r="S21" s="5">
        <v>15</v>
      </c>
      <c r="T21" s="5" t="s">
        <v>32</v>
      </c>
      <c r="V21" t="str">
        <f t="shared" si="1"/>
        <v>01-MAR</v>
      </c>
      <c r="W21" t="str">
        <f t="shared" si="2"/>
        <v>UK</v>
      </c>
      <c r="X21" t="str">
        <f t="shared" si="4"/>
        <v>Oakley Sunglasses</v>
      </c>
      <c r="Z21" s="13">
        <v>150</v>
      </c>
      <c r="AA21" s="21" t="str">
        <f t="shared" si="5"/>
        <v>01-MAR</v>
      </c>
      <c r="AB21" s="20"/>
      <c r="AC21" s="13">
        <v>150</v>
      </c>
      <c r="AD21" s="5" t="s">
        <v>32</v>
      </c>
    </row>
    <row r="22" spans="1:30" ht="15.75" customHeight="1" x14ac:dyDescent="0.25">
      <c r="A22" s="8" t="s">
        <v>82</v>
      </c>
      <c r="B22" s="8" t="s">
        <v>83</v>
      </c>
      <c r="C22" s="8" t="s">
        <v>84</v>
      </c>
      <c r="D22" s="8"/>
      <c r="E22" s="8">
        <v>10</v>
      </c>
      <c r="F22" s="8" t="s">
        <v>58</v>
      </c>
      <c r="G22" s="5"/>
      <c r="I22" s="9" t="s">
        <v>115</v>
      </c>
      <c r="J22" s="11"/>
      <c r="K22" s="5" t="str">
        <f t="shared" si="3"/>
        <v>Camping Tent</v>
      </c>
      <c r="L22" s="8" t="s">
        <v>58</v>
      </c>
      <c r="N22" s="8" t="s">
        <v>82</v>
      </c>
      <c r="O22" s="5" t="str">
        <f t="shared" si="0"/>
        <v>Camping Tent</v>
      </c>
      <c r="P22" s="8" t="s">
        <v>83</v>
      </c>
      <c r="Q22" s="8" t="s">
        <v>84</v>
      </c>
      <c r="R22" s="8"/>
      <c r="S22" s="8">
        <v>10</v>
      </c>
      <c r="T22" s="8" t="s">
        <v>58</v>
      </c>
      <c r="V22" t="str">
        <f t="shared" si="1"/>
        <v>14-AUG</v>
      </c>
      <c r="W22" t="str">
        <f t="shared" si="2"/>
        <v>US</v>
      </c>
      <c r="X22" t="str">
        <f t="shared" si="4"/>
        <v>Coleman Camping Tent</v>
      </c>
      <c r="Z22" s="15" t="s">
        <v>115</v>
      </c>
      <c r="AA22" s="21" t="str">
        <f t="shared" si="5"/>
        <v>14-AUG</v>
      </c>
      <c r="AB22" s="20"/>
      <c r="AC22" s="15" t="s">
        <v>115</v>
      </c>
      <c r="AD22" s="8" t="s">
        <v>58</v>
      </c>
    </row>
    <row r="23" spans="1:30" ht="15.75" customHeight="1" x14ac:dyDescent="0.25">
      <c r="A23" s="5" t="s">
        <v>85</v>
      </c>
      <c r="B23" s="5" t="s">
        <v>86</v>
      </c>
      <c r="C23" s="5" t="s">
        <v>87</v>
      </c>
      <c r="D23" s="5">
        <v>700</v>
      </c>
      <c r="E23" s="5">
        <v>50</v>
      </c>
      <c r="F23" s="5" t="s">
        <v>28</v>
      </c>
      <c r="G23" s="5"/>
      <c r="I23" s="5">
        <v>700</v>
      </c>
      <c r="J23" s="5"/>
      <c r="K23" s="5" t="str">
        <f t="shared" si="3"/>
        <v>Camera</v>
      </c>
      <c r="L23" s="5" t="s">
        <v>28</v>
      </c>
      <c r="N23" s="5" t="s">
        <v>85</v>
      </c>
      <c r="O23" s="5" t="str">
        <f t="shared" si="0"/>
        <v>Camera</v>
      </c>
      <c r="P23" s="5" t="s">
        <v>86</v>
      </c>
      <c r="Q23" s="5" t="s">
        <v>87</v>
      </c>
      <c r="R23" s="5">
        <v>700</v>
      </c>
      <c r="S23" s="5">
        <v>50</v>
      </c>
      <c r="T23" s="5" t="s">
        <v>28</v>
      </c>
      <c r="V23" t="str">
        <f t="shared" si="1"/>
        <v>14-MAY</v>
      </c>
      <c r="W23" t="str">
        <f t="shared" si="2"/>
        <v>RU</v>
      </c>
      <c r="X23" t="str">
        <f t="shared" si="4"/>
        <v>Nikon Camera</v>
      </c>
      <c r="Z23" s="13">
        <v>700</v>
      </c>
      <c r="AA23" s="21" t="str">
        <f t="shared" si="5"/>
        <v>14-MAY</v>
      </c>
      <c r="AB23" s="20"/>
      <c r="AC23" s="13">
        <v>700</v>
      </c>
      <c r="AD23" s="5" t="s">
        <v>28</v>
      </c>
    </row>
    <row r="24" spans="1:30" ht="15.75" customHeight="1" x14ac:dyDescent="0.25">
      <c r="A24" s="8" t="s">
        <v>88</v>
      </c>
      <c r="B24" s="8" t="s">
        <v>89</v>
      </c>
      <c r="C24" s="8" t="s">
        <v>90</v>
      </c>
      <c r="D24" s="8">
        <v>80</v>
      </c>
      <c r="E24" s="8">
        <v>20</v>
      </c>
      <c r="F24" s="8" t="s">
        <v>36</v>
      </c>
      <c r="G24" s="5"/>
      <c r="I24" s="8">
        <v>80</v>
      </c>
      <c r="J24" s="5"/>
      <c r="K24" s="5" t="str">
        <f t="shared" si="3"/>
        <v>Microwave</v>
      </c>
      <c r="L24" s="8" t="s">
        <v>36</v>
      </c>
      <c r="N24" s="8" t="s">
        <v>88</v>
      </c>
      <c r="O24" s="5" t="str">
        <f t="shared" si="0"/>
        <v>Microwave</v>
      </c>
      <c r="P24" s="8" t="s">
        <v>89</v>
      </c>
      <c r="Q24" s="8" t="s">
        <v>90</v>
      </c>
      <c r="R24" s="8">
        <v>80</v>
      </c>
      <c r="S24" s="8">
        <v>20</v>
      </c>
      <c r="T24" s="8" t="s">
        <v>36</v>
      </c>
      <c r="V24" t="str">
        <f t="shared" si="1"/>
        <v>09-JAN</v>
      </c>
      <c r="W24" t="str">
        <f t="shared" si="2"/>
        <v>CA</v>
      </c>
      <c r="X24" t="str">
        <f t="shared" si="4"/>
        <v>Panasonic Microwave</v>
      </c>
      <c r="Z24" s="14">
        <v>80</v>
      </c>
      <c r="AA24" s="21" t="str">
        <f t="shared" si="5"/>
        <v>09-JAN</v>
      </c>
      <c r="AB24" s="20"/>
      <c r="AC24" s="14">
        <v>80</v>
      </c>
      <c r="AD24" s="8" t="s">
        <v>36</v>
      </c>
    </row>
    <row r="25" spans="1:30" ht="15.75" customHeight="1" x14ac:dyDescent="0.25">
      <c r="A25" s="5" t="s">
        <v>91</v>
      </c>
      <c r="B25" s="5" t="s">
        <v>92</v>
      </c>
      <c r="C25" s="5" t="s">
        <v>93</v>
      </c>
      <c r="D25" s="5">
        <v>150</v>
      </c>
      <c r="E25" s="5">
        <v>30</v>
      </c>
      <c r="F25" s="5"/>
      <c r="G25" s="5"/>
      <c r="I25" s="5">
        <v>150</v>
      </c>
      <c r="J25" s="5"/>
      <c r="K25" s="5" t="str">
        <f t="shared" si="3"/>
        <v>Fitness Tracker</v>
      </c>
      <c r="L25" s="11" t="s">
        <v>28</v>
      </c>
      <c r="N25" s="5" t="s">
        <v>91</v>
      </c>
      <c r="O25" s="5" t="str">
        <f t="shared" si="0"/>
        <v>Fitness Tracker</v>
      </c>
      <c r="P25" s="5" t="s">
        <v>92</v>
      </c>
      <c r="Q25" s="5" t="s">
        <v>93</v>
      </c>
      <c r="R25" s="5">
        <v>150</v>
      </c>
      <c r="S25" s="5">
        <v>30</v>
      </c>
      <c r="T25" s="5"/>
      <c r="V25" t="str">
        <f t="shared" si="1"/>
        <v>19-JUL</v>
      </c>
      <c r="W25" t="str">
        <f t="shared" si="2"/>
        <v>BR</v>
      </c>
      <c r="X25" t="str">
        <f t="shared" si="4"/>
        <v>Xiaomi Fitness Tracker</v>
      </c>
      <c r="Z25" s="13">
        <v>150</v>
      </c>
      <c r="AA25" s="21" t="str">
        <f t="shared" si="5"/>
        <v>19-JUL</v>
      </c>
      <c r="AB25" s="20"/>
      <c r="AC25" s="13">
        <v>150</v>
      </c>
      <c r="AD25" s="5"/>
    </row>
    <row r="26" spans="1:30" ht="15.75" customHeight="1" x14ac:dyDescent="0.25">
      <c r="A26" s="8" t="s">
        <v>71</v>
      </c>
      <c r="B26" s="8" t="s">
        <v>72</v>
      </c>
      <c r="C26" s="8" t="s">
        <v>73</v>
      </c>
      <c r="D26" s="8">
        <v>50</v>
      </c>
      <c r="E26" s="8">
        <v>35</v>
      </c>
      <c r="F26" s="8" t="s">
        <v>74</v>
      </c>
      <c r="G26" s="5"/>
      <c r="I26" s="8">
        <v>50</v>
      </c>
      <c r="J26" s="5"/>
      <c r="K26" s="5" t="str">
        <f t="shared" si="3"/>
        <v>Laptop Bag</v>
      </c>
      <c r="L26" s="8" t="s">
        <v>74</v>
      </c>
      <c r="N26" s="5" t="s">
        <v>94</v>
      </c>
      <c r="O26" s="5" t="str">
        <f t="shared" si="0"/>
        <v>Smartphone</v>
      </c>
      <c r="P26" s="5" t="s">
        <v>95</v>
      </c>
      <c r="Q26" s="5" t="s">
        <v>96</v>
      </c>
      <c r="R26" s="5">
        <v>800</v>
      </c>
      <c r="S26" s="5">
        <v>45</v>
      </c>
      <c r="T26" s="5" t="s">
        <v>28</v>
      </c>
      <c r="V26" t="str">
        <f t="shared" si="1"/>
        <v>29-SEP</v>
      </c>
      <c r="W26" t="str">
        <f t="shared" si="2"/>
        <v>CA</v>
      </c>
      <c r="X26" t="str">
        <f t="shared" si="4"/>
        <v>Google Smartphone</v>
      </c>
      <c r="Z26" s="13">
        <v>800</v>
      </c>
      <c r="AA26" s="21" t="str">
        <f t="shared" si="5"/>
        <v>29-SEP</v>
      </c>
      <c r="AB26" s="20"/>
      <c r="AC26" s="13">
        <v>800</v>
      </c>
      <c r="AD26" s="5" t="s">
        <v>28</v>
      </c>
    </row>
    <row r="27" spans="1:30" ht="15.75" customHeight="1" x14ac:dyDescent="0.25">
      <c r="A27" s="5" t="s">
        <v>94</v>
      </c>
      <c r="B27" s="5" t="s">
        <v>95</v>
      </c>
      <c r="C27" s="5" t="s">
        <v>96</v>
      </c>
      <c r="D27" s="5">
        <v>800</v>
      </c>
      <c r="E27" s="5">
        <v>45</v>
      </c>
      <c r="F27" s="5" t="s">
        <v>28</v>
      </c>
      <c r="G27" s="5"/>
      <c r="I27" s="5">
        <v>800</v>
      </c>
      <c r="J27" s="5"/>
      <c r="K27" s="5" t="str">
        <f t="shared" si="3"/>
        <v>Smartphone</v>
      </c>
      <c r="L27" s="5" t="s">
        <v>28</v>
      </c>
      <c r="N27" s="8" t="s">
        <v>97</v>
      </c>
      <c r="O27" s="5" t="str">
        <f t="shared" si="0"/>
        <v>Sunglasses</v>
      </c>
      <c r="P27" s="8" t="s">
        <v>80</v>
      </c>
      <c r="Q27" s="8" t="s">
        <v>98</v>
      </c>
      <c r="R27" s="8"/>
      <c r="S27" s="8">
        <v>25</v>
      </c>
      <c r="T27" s="8" t="s">
        <v>32</v>
      </c>
      <c r="V27" t="str">
        <f t="shared" si="1"/>
        <v>03-JUN</v>
      </c>
      <c r="W27" t="str">
        <f t="shared" si="2"/>
        <v>CA</v>
      </c>
      <c r="X27" t="str">
        <f t="shared" si="4"/>
        <v>Ray-Ban Sunglasses</v>
      </c>
      <c r="Z27" s="15" t="s">
        <v>115</v>
      </c>
      <c r="AA27" s="21" t="str">
        <f t="shared" si="5"/>
        <v>03-JUN</v>
      </c>
      <c r="AB27" s="20"/>
      <c r="AC27" s="15" t="s">
        <v>115</v>
      </c>
      <c r="AD27" s="8" t="s">
        <v>32</v>
      </c>
    </row>
    <row r="28" spans="1:30" ht="15.75" customHeight="1" x14ac:dyDescent="0.25">
      <c r="A28" s="8" t="s">
        <v>97</v>
      </c>
      <c r="B28" s="8" t="s">
        <v>80</v>
      </c>
      <c r="C28" s="8" t="s">
        <v>98</v>
      </c>
      <c r="D28" s="8"/>
      <c r="E28" s="8">
        <v>25</v>
      </c>
      <c r="F28" s="8" t="s">
        <v>32</v>
      </c>
      <c r="G28" s="5"/>
      <c r="I28" s="9" t="s">
        <v>115</v>
      </c>
      <c r="J28" s="11"/>
      <c r="K28" s="5" t="str">
        <f t="shared" si="3"/>
        <v>Sunglasses</v>
      </c>
      <c r="L28" s="8" t="s">
        <v>32</v>
      </c>
      <c r="N28" s="5" t="s">
        <v>99</v>
      </c>
      <c r="O28" s="5" t="str">
        <f t="shared" si="0"/>
        <v>Blender</v>
      </c>
      <c r="P28" s="5" t="s">
        <v>50</v>
      </c>
      <c r="Q28" s="5" t="s">
        <v>100</v>
      </c>
      <c r="R28" s="5">
        <v>400</v>
      </c>
      <c r="S28" s="5">
        <v>40</v>
      </c>
      <c r="T28" s="5" t="s">
        <v>36</v>
      </c>
      <c r="V28" t="str">
        <f t="shared" si="1"/>
        <v>11-JUL</v>
      </c>
      <c r="W28" t="str">
        <f t="shared" si="2"/>
        <v>CA</v>
      </c>
      <c r="X28" t="str">
        <f t="shared" si="4"/>
        <v>Vitamix Blender</v>
      </c>
      <c r="Z28" s="13">
        <v>400</v>
      </c>
      <c r="AA28" s="21" t="str">
        <f t="shared" si="5"/>
        <v>11-JUL</v>
      </c>
      <c r="AB28" s="20"/>
      <c r="AC28" s="13">
        <v>400</v>
      </c>
      <c r="AD28" s="5" t="s">
        <v>36</v>
      </c>
    </row>
    <row r="29" spans="1:30" ht="15.75" customHeight="1" x14ac:dyDescent="0.25">
      <c r="A29" s="5" t="s">
        <v>99</v>
      </c>
      <c r="B29" s="5" t="s">
        <v>50</v>
      </c>
      <c r="C29" s="5" t="s">
        <v>100</v>
      </c>
      <c r="D29" s="5">
        <v>400</v>
      </c>
      <c r="E29" s="5">
        <v>40</v>
      </c>
      <c r="F29" s="5" t="s">
        <v>36</v>
      </c>
      <c r="G29" s="5"/>
      <c r="I29" s="5">
        <v>400</v>
      </c>
      <c r="J29" s="5"/>
      <c r="K29" s="5" t="str">
        <f t="shared" si="3"/>
        <v>Blender</v>
      </c>
      <c r="L29" s="5" t="s">
        <v>36</v>
      </c>
      <c r="N29" s="5" t="s">
        <v>101</v>
      </c>
      <c r="O29" s="5" t="str">
        <f t="shared" si="0"/>
        <v>Dress</v>
      </c>
      <c r="P29" s="5" t="s">
        <v>102</v>
      </c>
      <c r="Q29" s="5" t="s">
        <v>103</v>
      </c>
      <c r="R29" s="5">
        <v>60</v>
      </c>
      <c r="S29" s="5">
        <v>30</v>
      </c>
      <c r="T29" s="5" t="s">
        <v>32</v>
      </c>
      <c r="V29" t="str">
        <f t="shared" si="1"/>
        <v>07-MAR</v>
      </c>
      <c r="W29" t="str">
        <f t="shared" si="2"/>
        <v>CA</v>
      </c>
      <c r="X29" t="str">
        <f t="shared" si="4"/>
        <v>Zara Dress</v>
      </c>
      <c r="Z29" s="13">
        <v>60</v>
      </c>
      <c r="AA29" s="21" t="str">
        <f t="shared" si="5"/>
        <v>07-MAR</v>
      </c>
      <c r="AB29" s="20"/>
      <c r="AC29" s="13">
        <v>60</v>
      </c>
      <c r="AD29" s="5" t="s">
        <v>32</v>
      </c>
    </row>
    <row r="30" spans="1:30" ht="15.75" customHeight="1" x14ac:dyDescent="0.25">
      <c r="A30" s="8" t="s">
        <v>68</v>
      </c>
      <c r="B30" s="8" t="s">
        <v>69</v>
      </c>
      <c r="C30" s="8" t="s">
        <v>70</v>
      </c>
      <c r="D30" s="8">
        <v>250</v>
      </c>
      <c r="E30" s="8">
        <v>20</v>
      </c>
      <c r="F30" s="8" t="s">
        <v>28</v>
      </c>
      <c r="G30" s="5"/>
      <c r="I30" s="8">
        <v>250</v>
      </c>
      <c r="J30" s="5"/>
      <c r="K30" s="5" t="str">
        <f t="shared" si="3"/>
        <v>Headphones</v>
      </c>
      <c r="L30" s="8" t="s">
        <v>28</v>
      </c>
      <c r="N30" s="8" t="s">
        <v>104</v>
      </c>
      <c r="O30" s="5" t="str">
        <f t="shared" si="0"/>
        <v>Toaster</v>
      </c>
      <c r="P30" s="8" t="s">
        <v>105</v>
      </c>
      <c r="Q30" s="8" t="s">
        <v>106</v>
      </c>
      <c r="R30" s="8">
        <v>40</v>
      </c>
      <c r="S30" s="8">
        <v>10</v>
      </c>
      <c r="T30" s="8" t="s">
        <v>36</v>
      </c>
      <c r="V30" t="str">
        <f t="shared" si="1"/>
        <v>13-APR</v>
      </c>
      <c r="W30" t="str">
        <f t="shared" si="2"/>
        <v>CA</v>
      </c>
      <c r="X30" t="str">
        <f t="shared" si="4"/>
        <v>Hamilton Toaster</v>
      </c>
      <c r="Z30" s="14">
        <v>40</v>
      </c>
      <c r="AA30" s="21" t="str">
        <f t="shared" si="5"/>
        <v>13-APR</v>
      </c>
      <c r="AB30" s="20"/>
      <c r="AC30" s="14">
        <v>40</v>
      </c>
      <c r="AD30" s="8" t="s">
        <v>36</v>
      </c>
    </row>
    <row r="31" spans="1:30" ht="15.75" customHeight="1" x14ac:dyDescent="0.25">
      <c r="A31" s="5" t="s">
        <v>101</v>
      </c>
      <c r="B31" s="5" t="s">
        <v>102</v>
      </c>
      <c r="C31" s="5" t="s">
        <v>103</v>
      </c>
      <c r="D31" s="5">
        <v>60</v>
      </c>
      <c r="E31" s="5">
        <v>30</v>
      </c>
      <c r="F31" s="5" t="s">
        <v>32</v>
      </c>
      <c r="G31" s="5"/>
      <c r="I31" s="5">
        <v>60</v>
      </c>
      <c r="J31" s="5"/>
      <c r="K31" s="5" t="str">
        <f t="shared" si="3"/>
        <v>Dress</v>
      </c>
      <c r="L31" s="5" t="s">
        <v>32</v>
      </c>
      <c r="N31" s="5" t="s">
        <v>107</v>
      </c>
      <c r="O31" s="5" t="str">
        <f t="shared" si="0"/>
        <v>Fitness Tracker</v>
      </c>
      <c r="P31" s="5" t="s">
        <v>92</v>
      </c>
      <c r="Q31" s="5" t="s">
        <v>108</v>
      </c>
      <c r="R31" s="5">
        <v>130</v>
      </c>
      <c r="S31" s="5">
        <v>5</v>
      </c>
      <c r="T31" s="5" t="s">
        <v>28</v>
      </c>
      <c r="V31" t="str">
        <f t="shared" si="1"/>
        <v>24-MAY</v>
      </c>
      <c r="W31" t="str">
        <f t="shared" si="2"/>
        <v>CA</v>
      </c>
      <c r="X31" t="str">
        <f t="shared" si="4"/>
        <v>Garmin Fitness Tracker</v>
      </c>
      <c r="Z31" s="13">
        <v>130</v>
      </c>
      <c r="AA31" s="21" t="str">
        <f t="shared" si="5"/>
        <v>24-MAY</v>
      </c>
      <c r="AB31" s="20"/>
      <c r="AC31" s="13">
        <v>130</v>
      </c>
      <c r="AD31" s="5" t="s">
        <v>28</v>
      </c>
    </row>
    <row r="32" spans="1:30" ht="15.75" customHeight="1" x14ac:dyDescent="0.25">
      <c r="A32" s="8" t="s">
        <v>104</v>
      </c>
      <c r="B32" s="8" t="s">
        <v>105</v>
      </c>
      <c r="C32" s="8" t="s">
        <v>106</v>
      </c>
      <c r="D32" s="8">
        <v>40</v>
      </c>
      <c r="E32" s="8">
        <v>10</v>
      </c>
      <c r="F32" s="8" t="s">
        <v>36</v>
      </c>
      <c r="G32" s="5"/>
      <c r="I32" s="8">
        <v>40</v>
      </c>
      <c r="J32" s="5"/>
      <c r="K32" s="5" t="str">
        <f t="shared" si="3"/>
        <v>Toaster</v>
      </c>
      <c r="L32" s="8" t="s">
        <v>36</v>
      </c>
      <c r="N32" s="8" t="s">
        <v>109</v>
      </c>
      <c r="O32" s="5" t="str">
        <f t="shared" si="0"/>
        <v>Jeans</v>
      </c>
      <c r="P32" s="8" t="s">
        <v>110</v>
      </c>
      <c r="Q32" s="8" t="s">
        <v>111</v>
      </c>
      <c r="R32" s="8">
        <v>50</v>
      </c>
      <c r="S32" s="8">
        <v>50</v>
      </c>
      <c r="T32" s="8" t="s">
        <v>32</v>
      </c>
      <c r="V32" t="str">
        <f t="shared" si="1"/>
        <v>02-DEC</v>
      </c>
      <c r="W32" t="str">
        <f t="shared" si="2"/>
        <v>CA</v>
      </c>
      <c r="X32" t="str">
        <f t="shared" si="4"/>
        <v>Levi's Jeans</v>
      </c>
      <c r="Z32" s="14">
        <v>50</v>
      </c>
      <c r="AA32" s="21" t="str">
        <f t="shared" si="5"/>
        <v>02-DEC</v>
      </c>
      <c r="AB32" s="20"/>
      <c r="AC32" s="14">
        <v>50</v>
      </c>
      <c r="AD32" s="8" t="s">
        <v>32</v>
      </c>
    </row>
    <row r="33" spans="1:30" ht="15.75" customHeight="1" x14ac:dyDescent="0.25">
      <c r="A33" s="5" t="s">
        <v>107</v>
      </c>
      <c r="B33" s="5" t="s">
        <v>92</v>
      </c>
      <c r="C33" s="5" t="s">
        <v>108</v>
      </c>
      <c r="D33" s="5">
        <v>130</v>
      </c>
      <c r="E33" s="5">
        <v>5</v>
      </c>
      <c r="F33" s="5" t="s">
        <v>28</v>
      </c>
      <c r="G33" s="5"/>
      <c r="I33" s="5">
        <v>130</v>
      </c>
      <c r="J33" s="5"/>
      <c r="K33" s="5" t="str">
        <f t="shared" si="3"/>
        <v>Fitness Tracker</v>
      </c>
      <c r="L33" s="5" t="s">
        <v>28</v>
      </c>
      <c r="N33" s="8" t="s">
        <v>112</v>
      </c>
      <c r="O33" s="5" t="str">
        <f t="shared" si="0"/>
        <v>Watch</v>
      </c>
      <c r="P33" s="8" t="s">
        <v>113</v>
      </c>
      <c r="Q33" s="8" t="s">
        <v>114</v>
      </c>
      <c r="R33" s="8">
        <v>100</v>
      </c>
      <c r="S33" s="8">
        <v>20</v>
      </c>
      <c r="T33" s="8" t="s">
        <v>74</v>
      </c>
      <c r="V33" t="str">
        <f t="shared" si="1"/>
        <v>09-JUL</v>
      </c>
      <c r="W33" t="str">
        <f t="shared" si="2"/>
        <v>FR</v>
      </c>
      <c r="X33" t="str">
        <f t="shared" si="4"/>
        <v>Casio Watch</v>
      </c>
      <c r="Z33" s="14">
        <v>100</v>
      </c>
      <c r="AA33" s="21" t="str">
        <f t="shared" si="5"/>
        <v>09-JUL</v>
      </c>
      <c r="AB33" s="20"/>
      <c r="AC33" s="14">
        <v>100</v>
      </c>
      <c r="AD33" s="8" t="s">
        <v>74</v>
      </c>
    </row>
    <row r="34" spans="1:30" ht="15.75" customHeight="1" x14ac:dyDescent="0.25">
      <c r="A34" s="8" t="s">
        <v>109</v>
      </c>
      <c r="B34" s="8" t="s">
        <v>110</v>
      </c>
      <c r="C34" s="8" t="s">
        <v>111</v>
      </c>
      <c r="D34" s="8">
        <v>50</v>
      </c>
      <c r="E34" s="8">
        <v>50</v>
      </c>
      <c r="F34" s="8" t="s">
        <v>32</v>
      </c>
      <c r="G34" s="5"/>
      <c r="I34" s="8">
        <v>50</v>
      </c>
      <c r="J34" s="5"/>
      <c r="K34" s="5" t="str">
        <f t="shared" si="3"/>
        <v>Jeans</v>
      </c>
      <c r="L34" s="8" t="s">
        <v>32</v>
      </c>
    </row>
    <row r="35" spans="1:30" ht="15.75" customHeight="1" x14ac:dyDescent="0.25">
      <c r="A35" s="5" t="s">
        <v>59</v>
      </c>
      <c r="B35" s="5" t="s">
        <v>60</v>
      </c>
      <c r="C35" s="5" t="s">
        <v>61</v>
      </c>
      <c r="D35" s="5">
        <v>950</v>
      </c>
      <c r="E35" s="5">
        <v>25</v>
      </c>
      <c r="F35" s="5" t="s">
        <v>28</v>
      </c>
      <c r="G35" s="5"/>
      <c r="I35" s="5">
        <v>950</v>
      </c>
      <c r="J35" s="5"/>
      <c r="K35" s="5" t="str">
        <f t="shared" si="3"/>
        <v>Laptop</v>
      </c>
      <c r="L35" s="5" t="s">
        <v>28</v>
      </c>
    </row>
    <row r="36" spans="1:30" ht="15.75" customHeight="1" x14ac:dyDescent="0.25">
      <c r="A36" s="8" t="s">
        <v>112</v>
      </c>
      <c r="B36" s="8" t="s">
        <v>113</v>
      </c>
      <c r="C36" s="8" t="s">
        <v>114</v>
      </c>
      <c r="D36" s="8">
        <v>100</v>
      </c>
      <c r="E36" s="8">
        <v>20</v>
      </c>
      <c r="F36" s="8" t="s">
        <v>74</v>
      </c>
      <c r="G36" s="5"/>
      <c r="I36" s="8">
        <v>100</v>
      </c>
      <c r="J36" s="5"/>
      <c r="K36" s="5" t="str">
        <f t="shared" si="3"/>
        <v>Watch</v>
      </c>
      <c r="L36" s="8" t="s">
        <v>74</v>
      </c>
    </row>
    <row r="37" spans="1:30" ht="15.75" customHeight="1" x14ac:dyDescent="0.25"/>
    <row r="38" spans="1:30" ht="15.75" customHeight="1" x14ac:dyDescent="0.25"/>
    <row r="39" spans="1:30" ht="15.75" customHeight="1" x14ac:dyDescent="0.25"/>
    <row r="40" spans="1:30" ht="15.75" customHeight="1" x14ac:dyDescent="0.25"/>
    <row r="41" spans="1:30" ht="15.75" customHeight="1" x14ac:dyDescent="0.25"/>
    <row r="42" spans="1:30" ht="15.75" customHeight="1" x14ac:dyDescent="0.25"/>
    <row r="43" spans="1:30" ht="15.75" customHeight="1" x14ac:dyDescent="0.25"/>
    <row r="44" spans="1:30" ht="15.75" customHeight="1" x14ac:dyDescent="0.25"/>
    <row r="45" spans="1:30" ht="15.75" customHeight="1" x14ac:dyDescent="0.25"/>
    <row r="46" spans="1:30" ht="15.75" customHeight="1" x14ac:dyDescent="0.25"/>
    <row r="47" spans="1:30" ht="15.75" customHeight="1" x14ac:dyDescent="0.25"/>
    <row r="48" spans="1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">
    <mergeCell ref="AC1:AD1"/>
    <mergeCell ref="N1:T1"/>
    <mergeCell ref="H1:I1"/>
    <mergeCell ref="K1:L1"/>
    <mergeCell ref="V1:X1"/>
    <mergeCell ref="Z1:AA1"/>
  </mergeCells>
  <conditionalFormatting sqref="AC3:AC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{825F6380-6265-4AE0-91B9-C0B479B4001A}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5F6380-6265-4AE0-91B9-C0B479B40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AC3:AC33</xm:sqref>
        </x14:conditionalFormatting>
        <x14:conditionalFormatting xmlns:xm="http://schemas.microsoft.com/office/excel/2006/main">
          <x14:cfRule type="containsText" priority="1" operator="containsText" id="{C01F11EA-EE3E-4486-9B85-FCAFD90AD2F8}">
            <xm:f>NOT(ISERROR(SEARCH($AD$6,AD3)))</xm:f>
            <xm:f>$AD$6</xm:f>
            <x14:dxf>
              <fill>
                <patternFill>
                  <bgColor theme="9" tint="0.39994506668294322"/>
                </patternFill>
              </fill>
            </x14:dxf>
          </x14:cfRule>
          <xm:sqref>AD3:AD33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Fathima Shaziya</cp:lastModifiedBy>
  <dcterms:created xsi:type="dcterms:W3CDTF">2026-08-29T07:12:43Z</dcterms:created>
  <dcterms:modified xsi:type="dcterms:W3CDTF">2026-09-03T16:51:44Z</dcterms:modified>
</cp:coreProperties>
</file>